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4FCE651-7301-4301-81BF-3B9E6726AE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LOM ISIAN" sheetId="11" r:id="rId1"/>
  </sheets>
  <definedNames>
    <definedName name="_xlnm.Print_Area" localSheetId="0">'KOLOM ISIAN'!$A$1:$AC$30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11" l="1"/>
  <c r="AC25" i="11" s="1"/>
  <c r="S26" i="11"/>
  <c r="AC26" i="11" s="1"/>
  <c r="S16" i="11"/>
  <c r="AC16" i="11" s="1"/>
  <c r="S17" i="11"/>
  <c r="AC17" i="11" s="1"/>
  <c r="S18" i="11"/>
  <c r="AC18" i="11" s="1"/>
  <c r="S19" i="11"/>
  <c r="AC19" i="11" s="1"/>
  <c r="S27" i="11"/>
  <c r="S28" i="11"/>
  <c r="S29" i="11"/>
  <c r="S15" i="11"/>
  <c r="AC28" i="11" l="1"/>
  <c r="AC27" i="11"/>
  <c r="AC29" i="11"/>
  <c r="AC15" i="11"/>
  <c r="S30" i="11" l="1"/>
  <c r="AC30" i="11" s="1"/>
  <c r="AB26" i="11" l="1"/>
  <c r="S20" i="11"/>
  <c r="AB15" i="11"/>
  <c r="AB16" i="11"/>
  <c r="AB17" i="11"/>
  <c r="AC20" i="11" l="1"/>
</calcChain>
</file>

<file path=xl/sharedStrings.xml><?xml version="1.0" encoding="utf-8"?>
<sst xmlns="http://schemas.openxmlformats.org/spreadsheetml/2006/main" count="30" uniqueCount="25">
  <si>
    <t>No</t>
  </si>
  <si>
    <t>Keterangan</t>
  </si>
  <si>
    <t>JUMLAH</t>
  </si>
  <si>
    <t>Jumlah</t>
  </si>
  <si>
    <t>Jln. DI Panjaitan No 226 Tlp. 3190427 Kendari 93117</t>
  </si>
  <si>
    <t>Peserta (Responden Kusioner)</t>
  </si>
  <si>
    <t>Ket.</t>
  </si>
  <si>
    <t>KEMENTERIAN KETENAGAKERJAAN REPUBLIK INDONESIA</t>
  </si>
  <si>
    <t>DIREKTORAT JENDERAL PEMBINAAN PELATIHAN DAN PRODUKTIVITAS</t>
  </si>
  <si>
    <t>BALAI PELATIHAN VOKASI DAN PRODUKTIVITAS</t>
  </si>
  <si>
    <t>PELATIHAN KOMPETENSI BERBASIS INDUSTRI DAN JASA</t>
  </si>
  <si>
    <t>HASIL ANALISIS PRE TEST</t>
  </si>
  <si>
    <t xml:space="preserve">PROGRAM PELATIHAN ASISTEN PEMBUAT PAKAIAN PAKET 2
</t>
  </si>
  <si>
    <t>TGL Kamis 3 Agustus S.D Senin 28 Agustus 2026</t>
  </si>
  <si>
    <t>Penilaian</t>
  </si>
  <si>
    <t>Pengetahuan saya terhadap materi pelatihan</t>
  </si>
  <si>
    <t>Wawasan saya terhadap perkembangan bidang kejuruan pelatihan</t>
  </si>
  <si>
    <t>Keterampilan saya terhadap topik / tema materi pelatihan</t>
  </si>
  <si>
    <t>Kemampuan saya dalam mengidentifikasi kebutuhan kompetensi dalam dunia kerja</t>
  </si>
  <si>
    <t>Kemampuan saya dalam memanajemen waktu.</t>
  </si>
  <si>
    <t>Kepercayaan diri saya dalam menghadapi persaingan dunia kerja</t>
  </si>
  <si>
    <t xml:space="preserve"> Motivasi saya dalam meningkatkan kompetensi dan pengembangan diri</t>
  </si>
  <si>
    <t>Kesiapan saya dalam menghadapi dunia kerja</t>
  </si>
  <si>
    <t>Daya kreativitas saya dalam menyelesaikan aktivitas kegiatan sesuai bidang kejuruan yang sedang didalami</t>
  </si>
  <si>
    <t>Efektivitas dan efisiensi saya dalam melaksanakan aktivitas kegiatan sesuai bidang kejuruan yang didalami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</si>
</sst>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name val="Tahoma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top" wrapText="1"/>
    </xf>
    <xf numFmtId="0" fontId="0" fillId="3" borderId="4" xfId="0" applyFill="1" applyBorder="1" applyAlignment="1">
      <alignment vertical="center"/>
    </xf>
    <xf numFmtId="0" fontId="6" fillId="2" borderId="1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 wrapText="1"/>
    </xf>
    <xf numFmtId="0" fontId="13" fillId="2" borderId="13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/>
    </xf>
    <xf numFmtId="165" fontId="13" fillId="2" borderId="5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5" fontId="13" fillId="2" borderId="3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center" vertical="center"/>
    </xf>
    <xf numFmtId="165" fontId="6" fillId="3" borderId="26" xfId="0" applyNumberFormat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right" vertical="center" wrapText="1"/>
    </xf>
    <xf numFmtId="165" fontId="6" fillId="0" borderId="5" xfId="0" applyNumberFormat="1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49" fontId="14" fillId="3" borderId="0" xfId="0" applyNumberFormat="1" applyFont="1" applyFill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3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8" xfId="0" applyBorder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180975</xdr:rowOff>
    </xdr:from>
    <xdr:to>
      <xdr:col>1</xdr:col>
      <xdr:colOff>19050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361950" y="180975"/>
          <a:ext cx="1905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74083</xdr:rowOff>
    </xdr:from>
    <xdr:to>
      <xdr:col>28</xdr:col>
      <xdr:colOff>952500</xdr:colOff>
      <xdr:row>4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963083"/>
          <a:ext cx="11101917" cy="21167"/>
        </a:xfrm>
        <a:prstGeom prst="line">
          <a:avLst/>
        </a:prstGeom>
        <a:ln w="44450" cmpd="dbl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1635069</xdr:colOff>
      <xdr:row>0</xdr:row>
      <xdr:rowOff>71266</xdr:rowOff>
    </xdr:from>
    <xdr:to>
      <xdr:col>1</xdr:col>
      <xdr:colOff>2565308</xdr:colOff>
      <xdr:row>3</xdr:row>
      <xdr:rowOff>153962</xdr:rowOff>
    </xdr:to>
    <xdr:pic>
      <xdr:nvPicPr>
        <xdr:cNvPr id="4" name="Picture 3" descr="11949330_456359244548551_4689610791452084778_n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94902" y="71266"/>
          <a:ext cx="930239" cy="812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71"/>
  <sheetViews>
    <sheetView tabSelected="1" view="pageBreakPreview" zoomScale="85" zoomScaleNormal="90" zoomScaleSheetLayoutView="85" workbookViewId="0">
      <selection activeCell="S25" sqref="S25"/>
    </sheetView>
  </sheetViews>
  <sheetFormatPr defaultRowHeight="12.75" x14ac:dyDescent="0.2"/>
  <cols>
    <col min="1" max="1" width="5.42578125" style="1" customWidth="1"/>
    <col min="2" max="2" width="79.140625" customWidth="1"/>
    <col min="3" max="18" width="3.7109375" customWidth="1"/>
    <col min="19" max="19" width="9.140625" customWidth="1"/>
    <col min="20" max="27" width="4.5703125" hidden="1" customWidth="1"/>
    <col min="28" max="28" width="9.42578125" hidden="1" customWidth="1"/>
    <col min="29" max="29" width="14.42578125" customWidth="1"/>
    <col min="31" max="31" width="9.42578125" bestFit="1" customWidth="1"/>
  </cols>
  <sheetData>
    <row r="1" spans="1:31" s="9" customFormat="1" ht="18.75" x14ac:dyDescent="0.2">
      <c r="A1" s="75" t="s">
        <v>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1" s="9" customFormat="1" ht="17.25" x14ac:dyDescent="0.2">
      <c r="A2" s="76" t="s">
        <v>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31" s="9" customFormat="1" ht="21" x14ac:dyDescent="0.2">
      <c r="A3" s="77" t="s">
        <v>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1" s="9" customFormat="1" x14ac:dyDescent="0.2">
      <c r="A4" s="78" t="s">
        <v>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</row>
    <row r="5" spans="1:31" s="9" customFormat="1" x14ac:dyDescent="0.2">
      <c r="A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2"/>
      <c r="U5" s="12"/>
      <c r="V5" s="12"/>
      <c r="W5" s="12"/>
      <c r="X5" s="12"/>
      <c r="Y5" s="12"/>
      <c r="Z5" s="12"/>
      <c r="AA5" s="12"/>
      <c r="AB5" s="13"/>
      <c r="AC5" s="12"/>
    </row>
    <row r="6" spans="1:31" s="9" customFormat="1" ht="18" x14ac:dyDescent="0.2">
      <c r="A6" s="71" t="s">
        <v>11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</row>
    <row r="7" spans="1:31" s="9" customFormat="1" ht="18" x14ac:dyDescent="0.2">
      <c r="A7" s="71" t="s">
        <v>10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</row>
    <row r="8" spans="1:31" s="9" customFormat="1" ht="18" customHeight="1" x14ac:dyDescent="0.2">
      <c r="A8" s="71" t="s">
        <v>12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</row>
    <row r="9" spans="1:31" s="9" customFormat="1" ht="18" x14ac:dyDescent="0.2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</row>
    <row r="10" spans="1:31" s="9" customFormat="1" ht="21.75" customHeight="1" thickBot="1" x14ac:dyDescent="0.25">
      <c r="A10" s="15"/>
      <c r="B10" s="15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1" spans="1:31" ht="15.75" thickBot="1" x14ac:dyDescent="0.25">
      <c r="A11" s="80" t="s">
        <v>0</v>
      </c>
      <c r="B11" s="80" t="s">
        <v>14</v>
      </c>
      <c r="C11" s="81" t="s">
        <v>5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18"/>
      <c r="U11" s="18"/>
      <c r="V11" s="18"/>
      <c r="W11" s="18"/>
      <c r="X11" s="18"/>
      <c r="Y11" s="18"/>
      <c r="Z11" s="18"/>
      <c r="AA11" s="18"/>
      <c r="AB11" s="19"/>
      <c r="AC11" s="68" t="s">
        <v>6</v>
      </c>
    </row>
    <row r="12" spans="1:31" ht="15.75" thickBot="1" x14ac:dyDescent="0.25">
      <c r="A12" s="80"/>
      <c r="B12" s="80"/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20"/>
      <c r="U12" s="20"/>
      <c r="V12" s="20"/>
      <c r="W12" s="20"/>
      <c r="X12" s="20"/>
      <c r="Y12" s="20"/>
      <c r="Z12" s="20"/>
      <c r="AA12" s="20"/>
      <c r="AB12" s="21"/>
      <c r="AC12" s="69"/>
    </row>
    <row r="13" spans="1:31" ht="16.5" thickTop="1" thickBot="1" x14ac:dyDescent="0.25">
      <c r="A13" s="80"/>
      <c r="B13" s="80"/>
      <c r="C13" s="22">
        <v>1</v>
      </c>
      <c r="D13" s="22">
        <v>2</v>
      </c>
      <c r="E13" s="22">
        <v>3</v>
      </c>
      <c r="F13" s="22">
        <v>4</v>
      </c>
      <c r="G13" s="22">
        <v>5</v>
      </c>
      <c r="H13" s="22">
        <v>6</v>
      </c>
      <c r="I13" s="22">
        <v>7</v>
      </c>
      <c r="J13" s="22">
        <v>8</v>
      </c>
      <c r="K13" s="22">
        <v>9</v>
      </c>
      <c r="L13" s="22">
        <v>10</v>
      </c>
      <c r="M13" s="22">
        <v>11</v>
      </c>
      <c r="N13" s="22">
        <v>12</v>
      </c>
      <c r="O13" s="22">
        <v>13</v>
      </c>
      <c r="P13" s="22">
        <v>14</v>
      </c>
      <c r="Q13" s="22">
        <v>15</v>
      </c>
      <c r="R13" s="22">
        <v>16</v>
      </c>
      <c r="S13" s="22" t="s">
        <v>2</v>
      </c>
      <c r="T13" s="23">
        <v>22</v>
      </c>
      <c r="U13" s="24">
        <v>23</v>
      </c>
      <c r="V13" s="24">
        <v>24</v>
      </c>
      <c r="W13" s="24">
        <v>25</v>
      </c>
      <c r="X13" s="24">
        <v>26</v>
      </c>
      <c r="Y13" s="24">
        <v>27</v>
      </c>
      <c r="Z13" s="24">
        <v>28</v>
      </c>
      <c r="AA13" s="24">
        <v>29</v>
      </c>
      <c r="AB13" s="25" t="s">
        <v>3</v>
      </c>
      <c r="AC13" s="70"/>
    </row>
    <row r="14" spans="1:31" s="9" customFormat="1" ht="18" customHeight="1" thickBot="1" x14ac:dyDescent="0.3">
      <c r="A14" s="26"/>
      <c r="B14" s="53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27"/>
      <c r="U14" s="27"/>
      <c r="V14" s="27"/>
      <c r="W14" s="27"/>
      <c r="X14" s="27"/>
      <c r="Y14" s="27"/>
      <c r="Z14" s="27"/>
      <c r="AA14" s="27"/>
      <c r="AB14" s="28"/>
      <c r="AC14" s="29"/>
      <c r="AE14" s="14"/>
    </row>
    <row r="15" spans="1:31" s="9" customFormat="1" ht="27" customHeight="1" thickBot="1" x14ac:dyDescent="0.25">
      <c r="A15" s="30">
        <v>1</v>
      </c>
      <c r="B15" s="54" t="s">
        <v>15</v>
      </c>
      <c r="C15" s="64">
        <v>5</v>
      </c>
      <c r="D15" s="64">
        <v>5</v>
      </c>
      <c r="E15" s="64">
        <v>5</v>
      </c>
      <c r="F15" s="64">
        <v>5</v>
      </c>
      <c r="G15" s="64">
        <v>4</v>
      </c>
      <c r="H15" s="64">
        <v>5</v>
      </c>
      <c r="I15" s="64">
        <v>5</v>
      </c>
      <c r="J15" s="64">
        <v>5</v>
      </c>
      <c r="K15" s="64">
        <v>5</v>
      </c>
      <c r="L15" s="64">
        <v>5</v>
      </c>
      <c r="M15" s="64">
        <v>5</v>
      </c>
      <c r="N15" s="64">
        <v>5</v>
      </c>
      <c r="O15" s="64">
        <v>5</v>
      </c>
      <c r="P15" s="64">
        <v>5</v>
      </c>
      <c r="Q15" s="64">
        <v>5</v>
      </c>
      <c r="R15" s="62"/>
      <c r="S15" s="58">
        <f>SUM(C15:R15)/15</f>
        <v>4.9333333333333336</v>
      </c>
      <c r="T15" s="57"/>
      <c r="U15" s="57"/>
      <c r="V15" s="57"/>
      <c r="W15" s="57"/>
      <c r="X15" s="57"/>
      <c r="Y15" s="57"/>
      <c r="Z15" s="57"/>
      <c r="AA15" s="57"/>
      <c r="AB15" s="59">
        <f>SUM(M15:AA15)</f>
        <v>29.933333333333334</v>
      </c>
      <c r="AC15" s="63" t="str">
        <f t="shared" ref="AC15:AC19" si="0">IF(S15&gt;=5,"SANGAT BAIK",IF(S15&gt;=4,"BAIK",IF(S15&gt;=3,"CUKUP",IF(S15&gt;=2,"KURANG",IF(S15&gt;=0,"TIDAK BAIK")))))</f>
        <v>BAIK</v>
      </c>
      <c r="AE15" s="14"/>
    </row>
    <row r="16" spans="1:31" s="9" customFormat="1" ht="26.25" customHeight="1" thickBot="1" x14ac:dyDescent="0.25">
      <c r="A16" s="30">
        <v>2</v>
      </c>
      <c r="B16" s="54" t="s">
        <v>16</v>
      </c>
      <c r="C16" s="64">
        <v>5</v>
      </c>
      <c r="D16" s="64">
        <v>4</v>
      </c>
      <c r="E16" s="64">
        <v>5</v>
      </c>
      <c r="F16" s="64">
        <v>5</v>
      </c>
      <c r="G16" s="64">
        <v>4</v>
      </c>
      <c r="H16" s="64">
        <v>5</v>
      </c>
      <c r="I16" s="64">
        <v>5</v>
      </c>
      <c r="J16" s="64">
        <v>5</v>
      </c>
      <c r="K16" s="64">
        <v>4</v>
      </c>
      <c r="L16" s="64">
        <v>5</v>
      </c>
      <c r="M16" s="64">
        <v>3</v>
      </c>
      <c r="N16" s="64">
        <v>5</v>
      </c>
      <c r="O16" s="64">
        <v>5</v>
      </c>
      <c r="P16" s="64">
        <v>5</v>
      </c>
      <c r="Q16" s="64">
        <v>5</v>
      </c>
      <c r="R16" s="62"/>
      <c r="S16" s="58">
        <f t="shared" ref="S16:S19" si="1">SUM(C16:R16)/15</f>
        <v>4.666666666666667</v>
      </c>
      <c r="T16" s="30"/>
      <c r="U16" s="30"/>
      <c r="V16" s="30"/>
      <c r="W16" s="30"/>
      <c r="X16" s="30"/>
      <c r="Y16" s="30"/>
      <c r="Z16" s="30"/>
      <c r="AA16" s="30"/>
      <c r="AB16" s="31">
        <f>SUM(M16:AA16)</f>
        <v>27.666666666666668</v>
      </c>
      <c r="AC16" s="63" t="str">
        <f t="shared" si="0"/>
        <v>BAIK</v>
      </c>
      <c r="AE16" s="14"/>
    </row>
    <row r="17" spans="1:31" s="9" customFormat="1" ht="31.5" customHeight="1" thickBot="1" x14ac:dyDescent="0.25">
      <c r="A17" s="30">
        <v>3</v>
      </c>
      <c r="B17" s="55" t="s">
        <v>17</v>
      </c>
      <c r="C17" s="64">
        <v>5</v>
      </c>
      <c r="D17" s="64">
        <v>5</v>
      </c>
      <c r="E17" s="64">
        <v>5</v>
      </c>
      <c r="F17" s="64">
        <v>5</v>
      </c>
      <c r="G17" s="64">
        <v>4</v>
      </c>
      <c r="H17" s="64">
        <v>5</v>
      </c>
      <c r="I17" s="64">
        <v>5</v>
      </c>
      <c r="J17" s="64">
        <v>5</v>
      </c>
      <c r="K17" s="64">
        <v>4</v>
      </c>
      <c r="L17" s="64">
        <v>5</v>
      </c>
      <c r="M17" s="64">
        <v>5</v>
      </c>
      <c r="N17" s="64">
        <v>5</v>
      </c>
      <c r="O17" s="64">
        <v>5</v>
      </c>
      <c r="P17" s="64">
        <v>5</v>
      </c>
      <c r="Q17" s="64">
        <v>5</v>
      </c>
      <c r="R17" s="62"/>
      <c r="S17" s="58">
        <f t="shared" si="1"/>
        <v>4.8666666666666663</v>
      </c>
      <c r="T17" s="30"/>
      <c r="U17" s="30"/>
      <c r="V17" s="30"/>
      <c r="W17" s="30"/>
      <c r="X17" s="30"/>
      <c r="Y17" s="30"/>
      <c r="Z17" s="30"/>
      <c r="AA17" s="30"/>
      <c r="AB17" s="31">
        <f>SUM(M17:AA17)</f>
        <v>29.866666666666667</v>
      </c>
      <c r="AC17" s="63" t="str">
        <f t="shared" si="0"/>
        <v>BAIK</v>
      </c>
      <c r="AE17" s="14"/>
    </row>
    <row r="18" spans="1:31" s="9" customFormat="1" ht="29.25" thickBot="1" x14ac:dyDescent="0.25">
      <c r="A18" s="30">
        <v>4</v>
      </c>
      <c r="B18" s="93" t="s">
        <v>18</v>
      </c>
      <c r="C18" s="64">
        <v>5</v>
      </c>
      <c r="D18" s="64">
        <v>5</v>
      </c>
      <c r="E18" s="64">
        <v>5</v>
      </c>
      <c r="F18" s="64">
        <v>5</v>
      </c>
      <c r="G18" s="64">
        <v>4</v>
      </c>
      <c r="H18" s="64">
        <v>5</v>
      </c>
      <c r="I18" s="64">
        <v>5</v>
      </c>
      <c r="J18" s="64">
        <v>5</v>
      </c>
      <c r="K18" s="64">
        <v>4</v>
      </c>
      <c r="L18" s="64">
        <v>5</v>
      </c>
      <c r="M18" s="64">
        <v>5</v>
      </c>
      <c r="N18" s="64">
        <v>5</v>
      </c>
      <c r="O18" s="64">
        <v>5</v>
      </c>
      <c r="P18" s="64">
        <v>5</v>
      </c>
      <c r="Q18" s="64">
        <v>5</v>
      </c>
      <c r="R18" s="62"/>
      <c r="S18" s="58">
        <f t="shared" si="1"/>
        <v>4.8666666666666663</v>
      </c>
      <c r="T18" s="30"/>
      <c r="U18" s="30"/>
      <c r="V18" s="30"/>
      <c r="W18" s="30"/>
      <c r="X18" s="30"/>
      <c r="Y18" s="30"/>
      <c r="Z18" s="30"/>
      <c r="AA18" s="30"/>
      <c r="AB18" s="31"/>
      <c r="AC18" s="63" t="str">
        <f t="shared" si="0"/>
        <v>BAIK</v>
      </c>
      <c r="AE18" s="14"/>
    </row>
    <row r="19" spans="1:31" ht="30.75" customHeight="1" thickBot="1" x14ac:dyDescent="0.25">
      <c r="A19" s="30">
        <v>5</v>
      </c>
      <c r="B19" s="56" t="s">
        <v>19</v>
      </c>
      <c r="C19" s="64">
        <v>5</v>
      </c>
      <c r="D19" s="64">
        <v>5</v>
      </c>
      <c r="E19" s="64">
        <v>5</v>
      </c>
      <c r="F19" s="64">
        <v>5</v>
      </c>
      <c r="G19" s="64">
        <v>5</v>
      </c>
      <c r="H19" s="64">
        <v>5</v>
      </c>
      <c r="I19" s="64">
        <v>5</v>
      </c>
      <c r="J19" s="64">
        <v>5</v>
      </c>
      <c r="K19" s="64">
        <v>5</v>
      </c>
      <c r="L19" s="64">
        <v>5</v>
      </c>
      <c r="M19" s="64">
        <v>5</v>
      </c>
      <c r="N19" s="64">
        <v>5</v>
      </c>
      <c r="O19" s="64">
        <v>5</v>
      </c>
      <c r="P19" s="64">
        <v>5</v>
      </c>
      <c r="Q19" s="64">
        <v>5</v>
      </c>
      <c r="R19" s="62"/>
      <c r="S19" s="58">
        <f t="shared" si="1"/>
        <v>5</v>
      </c>
      <c r="T19" s="30"/>
      <c r="U19" s="30"/>
      <c r="V19" s="30"/>
      <c r="W19" s="30"/>
      <c r="X19" s="30"/>
      <c r="Y19" s="30"/>
      <c r="Z19" s="30"/>
      <c r="AA19" s="30"/>
      <c r="AB19" s="31"/>
      <c r="AC19" s="63" t="str">
        <f t="shared" si="0"/>
        <v>SANGAT BAIK</v>
      </c>
    </row>
    <row r="20" spans="1:31" ht="15.75" thickBot="1" x14ac:dyDescent="0.3">
      <c r="A20" s="32"/>
      <c r="B20" s="16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48"/>
      <c r="R20" s="48"/>
      <c r="S20" s="33">
        <f>AVERAGE(S15:S19)</f>
        <v>4.8666666666666671</v>
      </c>
      <c r="T20" s="34"/>
      <c r="U20" s="34"/>
      <c r="V20" s="34"/>
      <c r="W20" s="34"/>
      <c r="X20" s="34"/>
      <c r="Y20" s="34"/>
      <c r="Z20" s="34"/>
      <c r="AA20" s="34"/>
      <c r="AB20" s="35"/>
      <c r="AC20" s="33" t="str">
        <f t="shared" ref="AC20" si="2">IF(S20&gt;=5,"SANGAT BAIK",IF(S20&gt;=4,"BAIK",IF(S20&gt;=3,"CUKUP",IF(S20&gt;=2,"KURANG",IF(S20&gt;=0,"TIDAK BAIK")))))</f>
        <v>BAIK</v>
      </c>
    </row>
    <row r="21" spans="1:31" ht="6.75" customHeight="1" thickBot="1" x14ac:dyDescent="0.25">
      <c r="A21" s="80" t="s">
        <v>0</v>
      </c>
      <c r="B21" s="80" t="s">
        <v>14</v>
      </c>
      <c r="C21" s="81" t="s">
        <v>5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18"/>
      <c r="U21" s="18"/>
      <c r="V21" s="18"/>
      <c r="W21" s="18"/>
      <c r="X21" s="18"/>
      <c r="Y21" s="18"/>
      <c r="Z21" s="18"/>
      <c r="AA21" s="18"/>
      <c r="AB21" s="19"/>
      <c r="AC21" s="68" t="s">
        <v>1</v>
      </c>
    </row>
    <row r="22" spans="1:31" ht="15.75" thickBot="1" x14ac:dyDescent="0.25">
      <c r="A22" s="80"/>
      <c r="B22" s="80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20"/>
      <c r="U22" s="20"/>
      <c r="V22" s="20"/>
      <c r="W22" s="20"/>
      <c r="X22" s="20"/>
      <c r="Y22" s="20"/>
      <c r="Z22" s="20"/>
      <c r="AA22" s="20"/>
      <c r="AB22" s="21"/>
      <c r="AC22" s="69"/>
    </row>
    <row r="23" spans="1:31" ht="17.25" customHeight="1" thickTop="1" thickBot="1" x14ac:dyDescent="0.25">
      <c r="A23" s="80"/>
      <c r="B23" s="80"/>
      <c r="C23" s="22">
        <v>1</v>
      </c>
      <c r="D23" s="22">
        <v>2</v>
      </c>
      <c r="E23" s="22">
        <v>3</v>
      </c>
      <c r="F23" s="22">
        <v>4</v>
      </c>
      <c r="G23" s="22">
        <v>5</v>
      </c>
      <c r="H23" s="22">
        <v>6</v>
      </c>
      <c r="I23" s="22">
        <v>7</v>
      </c>
      <c r="J23" s="22">
        <v>8</v>
      </c>
      <c r="K23" s="22">
        <v>9</v>
      </c>
      <c r="L23" s="22">
        <v>10</v>
      </c>
      <c r="M23" s="22">
        <v>11</v>
      </c>
      <c r="N23" s="22">
        <v>12</v>
      </c>
      <c r="O23" s="22">
        <v>13</v>
      </c>
      <c r="P23" s="22">
        <v>14</v>
      </c>
      <c r="Q23" s="22">
        <v>15</v>
      </c>
      <c r="R23" s="22">
        <v>16</v>
      </c>
      <c r="S23" s="22" t="s">
        <v>2</v>
      </c>
      <c r="T23" s="23">
        <v>22</v>
      </c>
      <c r="U23" s="24">
        <v>23</v>
      </c>
      <c r="V23" s="24">
        <v>24</v>
      </c>
      <c r="W23" s="24">
        <v>25</v>
      </c>
      <c r="X23" s="24">
        <v>26</v>
      </c>
      <c r="Y23" s="24">
        <v>27</v>
      </c>
      <c r="Z23" s="24">
        <v>28</v>
      </c>
      <c r="AA23" s="24">
        <v>29</v>
      </c>
      <c r="AB23" s="25" t="s">
        <v>3</v>
      </c>
      <c r="AC23" s="70"/>
    </row>
    <row r="24" spans="1:31" ht="24.75" customHeight="1" thickBot="1" x14ac:dyDescent="0.25">
      <c r="A24" s="96"/>
      <c r="B24" s="97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9"/>
      <c r="S24" s="61"/>
      <c r="T24" s="37"/>
      <c r="U24" s="37"/>
      <c r="V24" s="37"/>
      <c r="W24" s="37"/>
      <c r="X24" s="37"/>
      <c r="Y24" s="37"/>
      <c r="Z24" s="37"/>
      <c r="AA24" s="37"/>
      <c r="AB24" s="36"/>
      <c r="AC24" s="60"/>
    </row>
    <row r="25" spans="1:31" ht="21.75" customHeight="1" thickBot="1" x14ac:dyDescent="0.25">
      <c r="A25" s="45">
        <v>6</v>
      </c>
      <c r="B25" s="49" t="s">
        <v>20</v>
      </c>
      <c r="C25" s="64">
        <v>5</v>
      </c>
      <c r="D25" s="64">
        <v>5</v>
      </c>
      <c r="E25" s="64">
        <v>5</v>
      </c>
      <c r="F25" s="64">
        <v>5</v>
      </c>
      <c r="G25" s="64">
        <v>5</v>
      </c>
      <c r="H25" s="64">
        <v>5</v>
      </c>
      <c r="I25" s="64">
        <v>5</v>
      </c>
      <c r="J25" s="64">
        <v>5</v>
      </c>
      <c r="K25" s="64">
        <v>5</v>
      </c>
      <c r="L25" s="64">
        <v>5</v>
      </c>
      <c r="M25" s="64">
        <v>5</v>
      </c>
      <c r="N25" s="64">
        <v>1</v>
      </c>
      <c r="O25" s="64">
        <v>5</v>
      </c>
      <c r="P25" s="64">
        <v>5</v>
      </c>
      <c r="Q25" s="64">
        <v>5</v>
      </c>
      <c r="R25" s="46"/>
      <c r="S25" s="65">
        <f>SUM(C26:R26)/15</f>
        <v>4.7333333333333334</v>
      </c>
      <c r="T25" s="94"/>
      <c r="U25" s="94"/>
      <c r="V25" s="94"/>
      <c r="W25" s="94"/>
      <c r="X25" s="94"/>
      <c r="Y25" s="94"/>
      <c r="Z25" s="94"/>
      <c r="AA25" s="94"/>
      <c r="AB25" s="95"/>
      <c r="AC25" s="60" t="str">
        <f>IF(S25&gt;=5,"SANGAT BAIK",IF(S25&gt;=4,"BAIK",IF(S25&gt;=3,"CUKUP",IF(S25&gt;=2,"KURANG",IF(S25&gt;=0,"TIDAK BAIK")))))</f>
        <v>BAIK</v>
      </c>
    </row>
    <row r="26" spans="1:31" ht="23.25" customHeight="1" thickBot="1" x14ac:dyDescent="0.25">
      <c r="A26" s="45">
        <v>7</v>
      </c>
      <c r="B26" s="49" t="s">
        <v>21</v>
      </c>
      <c r="C26" s="64">
        <v>5</v>
      </c>
      <c r="D26" s="64">
        <v>5</v>
      </c>
      <c r="E26" s="64">
        <v>5</v>
      </c>
      <c r="F26" s="64">
        <v>5</v>
      </c>
      <c r="G26" s="64">
        <v>5</v>
      </c>
      <c r="H26" s="64">
        <v>5</v>
      </c>
      <c r="I26" s="64">
        <v>5</v>
      </c>
      <c r="J26" s="64">
        <v>5</v>
      </c>
      <c r="K26" s="64">
        <v>5</v>
      </c>
      <c r="L26" s="64">
        <v>5</v>
      </c>
      <c r="M26" s="64">
        <v>5</v>
      </c>
      <c r="N26" s="64">
        <v>1</v>
      </c>
      <c r="O26" s="64">
        <v>5</v>
      </c>
      <c r="P26" s="64">
        <v>5</v>
      </c>
      <c r="Q26" s="64">
        <v>5</v>
      </c>
      <c r="R26" s="64"/>
      <c r="S26" s="65">
        <f>SUM(C26:R26)/15</f>
        <v>4.7333333333333334</v>
      </c>
      <c r="T26" s="39"/>
      <c r="U26" s="39"/>
      <c r="V26" s="39"/>
      <c r="W26" s="39"/>
      <c r="X26" s="39"/>
      <c r="Y26" s="39"/>
      <c r="Z26" s="39"/>
      <c r="AA26" s="39"/>
      <c r="AB26" s="40">
        <f>SUM(M26:AA26)</f>
        <v>25.733333333333334</v>
      </c>
      <c r="AC26" s="63" t="str">
        <f>IF(S26&gt;=5,"SANGAT BAIK",IF(S26&gt;=4,"BAIK",IF(S26&gt;=3,"CUKUP",IF(S26&gt;=2,"KURANG",IF(S26&gt;=0,"TIDAK BAIK")))))</f>
        <v>BAIK</v>
      </c>
    </row>
    <row r="27" spans="1:31" ht="36" customHeight="1" thickBot="1" x14ac:dyDescent="0.25">
      <c r="A27" s="38">
        <v>8</v>
      </c>
      <c r="B27" s="50" t="s">
        <v>22</v>
      </c>
      <c r="C27" s="64">
        <v>5</v>
      </c>
      <c r="D27" s="64">
        <v>5</v>
      </c>
      <c r="E27" s="64">
        <v>5</v>
      </c>
      <c r="F27" s="64">
        <v>5</v>
      </c>
      <c r="G27" s="64">
        <v>5</v>
      </c>
      <c r="H27" s="64">
        <v>5</v>
      </c>
      <c r="I27" s="64">
        <v>5</v>
      </c>
      <c r="J27" s="64">
        <v>5</v>
      </c>
      <c r="K27" s="64">
        <v>5</v>
      </c>
      <c r="L27" s="64">
        <v>5</v>
      </c>
      <c r="M27" s="64">
        <v>5</v>
      </c>
      <c r="N27" s="64">
        <v>1</v>
      </c>
      <c r="O27" s="64">
        <v>5</v>
      </c>
      <c r="P27" s="64">
        <v>5</v>
      </c>
      <c r="Q27" s="64">
        <v>5</v>
      </c>
      <c r="R27" s="64"/>
      <c r="S27" s="65">
        <f t="shared" ref="S27:S29" si="3">SUM(C27:R27)/15</f>
        <v>4.7333333333333334</v>
      </c>
      <c r="T27" s="39"/>
      <c r="U27" s="39"/>
      <c r="V27" s="39"/>
      <c r="W27" s="39"/>
      <c r="X27" s="39"/>
      <c r="Y27" s="39"/>
      <c r="Z27" s="39"/>
      <c r="AA27" s="39"/>
      <c r="AB27" s="40"/>
      <c r="AC27" s="63" t="str">
        <f>IF(S27&gt;=5,"SANGAT BAIK",IF(S27&gt;=4,"BAIK",IF(S27&gt;=3,"CUKUP",IF(S27&gt;=2,"KURANG",IF(S27&gt;=0,"TIDAK BAIK")))))</f>
        <v>BAIK</v>
      </c>
    </row>
    <row r="28" spans="1:31" ht="43.5" customHeight="1" thickBot="1" x14ac:dyDescent="0.25">
      <c r="A28" s="38">
        <v>9</v>
      </c>
      <c r="B28" s="50" t="s">
        <v>23</v>
      </c>
      <c r="C28" s="64">
        <v>5</v>
      </c>
      <c r="D28" s="64">
        <v>5</v>
      </c>
      <c r="E28" s="64">
        <v>5</v>
      </c>
      <c r="F28" s="64">
        <v>5</v>
      </c>
      <c r="G28" s="64">
        <v>5</v>
      </c>
      <c r="H28" s="64">
        <v>5</v>
      </c>
      <c r="I28" s="64">
        <v>5</v>
      </c>
      <c r="J28" s="64">
        <v>5</v>
      </c>
      <c r="K28" s="64">
        <v>5</v>
      </c>
      <c r="L28" s="64">
        <v>5</v>
      </c>
      <c r="M28" s="64">
        <v>5</v>
      </c>
      <c r="N28" s="64">
        <v>1</v>
      </c>
      <c r="O28" s="64">
        <v>5</v>
      </c>
      <c r="P28" s="64">
        <v>5</v>
      </c>
      <c r="Q28" s="64">
        <v>5</v>
      </c>
      <c r="R28" s="64"/>
      <c r="S28" s="65">
        <f t="shared" si="3"/>
        <v>4.7333333333333334</v>
      </c>
      <c r="T28" s="39"/>
      <c r="U28" s="39"/>
      <c r="V28" s="39"/>
      <c r="W28" s="39"/>
      <c r="X28" s="39"/>
      <c r="Y28" s="39"/>
      <c r="Z28" s="39"/>
      <c r="AA28" s="39"/>
      <c r="AB28" s="40"/>
      <c r="AC28" s="63" t="str">
        <f>IF(S28&gt;=5,"SANGAT BAIK",IF(S28&gt;=4,"BAIK",IF(S28&gt;=3,"CUKUP",IF(S28&gt;=2,"KURANG",IF(S28&gt;=0,"TIDAK BAIK")))))</f>
        <v>BAIK</v>
      </c>
    </row>
    <row r="29" spans="1:31" ht="39.75" customHeight="1" thickBot="1" x14ac:dyDescent="0.25">
      <c r="A29" s="47">
        <v>10</v>
      </c>
      <c r="B29" s="51" t="s">
        <v>24</v>
      </c>
      <c r="C29" s="64">
        <v>5</v>
      </c>
      <c r="D29" s="64">
        <v>5</v>
      </c>
      <c r="E29" s="64">
        <v>5</v>
      </c>
      <c r="F29" s="64">
        <v>5</v>
      </c>
      <c r="G29" s="64">
        <v>4</v>
      </c>
      <c r="H29" s="64">
        <v>5</v>
      </c>
      <c r="I29" s="64">
        <v>5</v>
      </c>
      <c r="J29" s="64">
        <v>5</v>
      </c>
      <c r="K29" s="64">
        <v>5</v>
      </c>
      <c r="L29" s="64">
        <v>5</v>
      </c>
      <c r="M29" s="64">
        <v>5</v>
      </c>
      <c r="N29" s="64">
        <v>5</v>
      </c>
      <c r="O29" s="64">
        <v>5</v>
      </c>
      <c r="P29" s="64">
        <v>5</v>
      </c>
      <c r="Q29" s="64">
        <v>5</v>
      </c>
      <c r="R29" s="64"/>
      <c r="S29" s="65">
        <f t="shared" si="3"/>
        <v>4.9333333333333336</v>
      </c>
      <c r="T29" s="44"/>
      <c r="U29" s="44"/>
      <c r="V29" s="44"/>
      <c r="W29" s="44"/>
      <c r="X29" s="44"/>
      <c r="Y29" s="44"/>
      <c r="Z29" s="44"/>
      <c r="AA29" s="44"/>
      <c r="AB29" s="44"/>
      <c r="AC29" s="63" t="str">
        <f>IF(S29&gt;=5,"SANGAT BAIK",IF(S29&gt;=4,"BAIK",IF(S29&gt;=3,"CUKUP",IF(S29&gt;=2,"KURANG",IF(S29&gt;=0,"TIDAK BAIK")))))</f>
        <v>BAIK</v>
      </c>
    </row>
    <row r="30" spans="1:31" ht="22.5" customHeight="1" thickBot="1" x14ac:dyDescent="0.25">
      <c r="A30" s="41"/>
      <c r="B30" s="17"/>
      <c r="C30" s="9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2"/>
      <c r="S30" s="52">
        <f>AVERAGE(S26:S29)</f>
        <v>4.7833333333333332</v>
      </c>
      <c r="T30" s="42"/>
      <c r="U30" s="42"/>
      <c r="V30" s="42"/>
      <c r="W30" s="42"/>
      <c r="X30" s="42"/>
      <c r="Y30" s="43"/>
      <c r="Z30" s="43"/>
      <c r="AA30" s="43"/>
      <c r="AB30" s="43"/>
      <c r="AC30" s="33" t="str">
        <f t="shared" ref="AC30" si="4">IF(S30&gt;=5,"SANGAT BAIK",IF(S30&gt;=4,"BAIK",IF(S30&gt;=3,"CUKUP",IF(S30&gt;=2,"KURANG",IF(S30&gt;=0,"TIDAK BAIK")))))</f>
        <v>BAIK</v>
      </c>
    </row>
    <row r="31" spans="1:31" ht="2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31" ht="25.5" customHeight="1" x14ac:dyDescent="0.2">
      <c r="A32" s="8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1"/>
      <c r="T32" s="12"/>
      <c r="U32" s="12"/>
      <c r="V32" s="12"/>
      <c r="W32" s="12"/>
      <c r="X32" s="12"/>
      <c r="Y32" s="12"/>
      <c r="Z32" s="12"/>
      <c r="AA32" s="12"/>
      <c r="AB32" s="13"/>
      <c r="AC32" s="12"/>
    </row>
    <row r="33" spans="1:29" ht="22.5" customHeight="1" x14ac:dyDescent="0.2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1"/>
      <c r="T33" s="12"/>
      <c r="U33" s="12"/>
      <c r="V33" s="12"/>
      <c r="W33" s="12"/>
      <c r="X33" s="12"/>
      <c r="Y33" s="12"/>
      <c r="Z33" s="12"/>
      <c r="AA33" s="12"/>
      <c r="AB33" s="13"/>
      <c r="AC33" s="12"/>
    </row>
    <row r="34" spans="1:29" ht="28.5" customHeight="1" x14ac:dyDescent="0.2">
      <c r="A34" s="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1"/>
      <c r="T34" s="12"/>
      <c r="U34" s="12"/>
      <c r="V34" s="12"/>
      <c r="W34" s="12"/>
      <c r="X34" s="12"/>
      <c r="Y34" s="12"/>
      <c r="Z34" s="12"/>
      <c r="AA34" s="12"/>
      <c r="AB34" s="13"/>
      <c r="AC34" s="12"/>
    </row>
    <row r="35" spans="1:29" ht="23.25" customHeight="1" x14ac:dyDescent="0.2">
      <c r="A35" s="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12"/>
      <c r="U35" s="12"/>
      <c r="V35" s="12"/>
      <c r="W35" s="12"/>
      <c r="X35" s="12"/>
      <c r="Y35" s="12"/>
      <c r="Z35" s="12"/>
      <c r="AA35" s="12"/>
      <c r="AB35" s="13"/>
      <c r="AC35" s="12"/>
    </row>
    <row r="36" spans="1:29" ht="27" customHeight="1" x14ac:dyDescent="0.2">
      <c r="A36" s="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/>
      <c r="T36" s="12"/>
      <c r="U36" s="12"/>
      <c r="V36" s="12"/>
      <c r="W36" s="12"/>
      <c r="X36" s="12"/>
      <c r="Y36" s="12"/>
      <c r="Z36" s="12"/>
      <c r="AA36" s="12"/>
      <c r="AB36" s="13"/>
      <c r="AC36" s="12"/>
    </row>
    <row r="37" spans="1:29" ht="19.149999999999999" customHeight="1" x14ac:dyDescent="0.2">
      <c r="A37" s="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/>
      <c r="T37" s="12"/>
      <c r="U37" s="12"/>
      <c r="V37" s="12"/>
      <c r="W37" s="12"/>
      <c r="X37" s="12"/>
      <c r="Y37" s="12"/>
      <c r="Z37" s="12"/>
      <c r="AA37" s="12"/>
      <c r="AB37" s="13"/>
      <c r="AC37" s="12"/>
    </row>
    <row r="38" spans="1:29" ht="31.15" customHeight="1" x14ac:dyDescent="0.2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1"/>
      <c r="T38" s="12"/>
      <c r="U38" s="12"/>
      <c r="V38" s="12"/>
      <c r="W38" s="12"/>
      <c r="X38" s="12"/>
      <c r="Y38" s="12"/>
      <c r="Z38" s="12"/>
      <c r="AA38" s="12"/>
      <c r="AB38" s="13"/>
      <c r="AC38" s="12"/>
    </row>
    <row r="39" spans="1:29" ht="31.15" customHeight="1" x14ac:dyDescent="0.2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1"/>
      <c r="T39" s="12"/>
      <c r="U39" s="12"/>
      <c r="V39" s="12"/>
      <c r="W39" s="12"/>
      <c r="X39" s="12"/>
      <c r="Y39" s="12"/>
      <c r="Z39" s="12"/>
      <c r="AA39" s="12"/>
      <c r="AB39" s="13"/>
      <c r="AC39" s="12"/>
    </row>
    <row r="40" spans="1:29" x14ac:dyDescent="0.2">
      <c r="A40" s="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/>
      <c r="T40" s="12"/>
      <c r="U40" s="12"/>
      <c r="V40" s="12"/>
      <c r="W40" s="12"/>
      <c r="X40" s="12"/>
      <c r="Y40" s="12"/>
      <c r="Z40" s="12"/>
      <c r="AA40" s="12"/>
      <c r="AB40" s="13"/>
      <c r="AC40" s="12"/>
    </row>
    <row r="41" spans="1:29" x14ac:dyDescent="0.2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1"/>
      <c r="T41" s="12"/>
      <c r="U41" s="12"/>
      <c r="V41" s="12"/>
      <c r="W41" s="12"/>
      <c r="X41" s="12"/>
      <c r="Y41" s="12"/>
      <c r="Z41" s="12"/>
      <c r="AA41" s="12"/>
      <c r="AB41" s="13"/>
      <c r="AC41" s="12"/>
    </row>
    <row r="42" spans="1:29" ht="42.75" customHeight="1" x14ac:dyDescent="0.2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1"/>
      <c r="T42" s="12"/>
      <c r="U42" s="12"/>
      <c r="V42" s="12"/>
      <c r="W42" s="12"/>
      <c r="X42" s="12"/>
      <c r="Y42" s="12"/>
      <c r="Z42" s="12"/>
      <c r="AA42" s="12"/>
      <c r="AB42" s="13"/>
      <c r="AC42" s="12"/>
    </row>
    <row r="43" spans="1:29" x14ac:dyDescent="0.2">
      <c r="A43" s="8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1"/>
      <c r="T43" s="12"/>
      <c r="U43" s="12"/>
      <c r="V43" s="12"/>
      <c r="W43" s="12"/>
      <c r="X43" s="12"/>
      <c r="Y43" s="12"/>
      <c r="Z43" s="12"/>
      <c r="AA43" s="12"/>
      <c r="AB43" s="13"/>
      <c r="AC43" s="12"/>
    </row>
    <row r="44" spans="1:29" s="9" customFormat="1" x14ac:dyDescent="0.2">
      <c r="A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1"/>
      <c r="T44" s="12"/>
      <c r="U44" s="12"/>
      <c r="V44" s="12"/>
      <c r="W44" s="12"/>
      <c r="X44" s="12"/>
      <c r="Y44" s="12"/>
      <c r="Z44" s="12"/>
      <c r="AA44" s="12"/>
      <c r="AB44" s="13"/>
      <c r="AC44" s="12"/>
    </row>
    <row r="45" spans="1:29" s="9" customFormat="1" x14ac:dyDescent="0.2">
      <c r="A45" s="4"/>
      <c r="B4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6"/>
      <c r="T45" s="5"/>
      <c r="U45" s="5"/>
      <c r="V45" s="5"/>
      <c r="W45" s="5"/>
      <c r="X45" s="5"/>
      <c r="Y45" s="5"/>
      <c r="Z45" s="5"/>
      <c r="AA45" s="5"/>
      <c r="AB45" s="7"/>
      <c r="AC45" s="5"/>
    </row>
    <row r="46" spans="1:29" s="9" customFormat="1" x14ac:dyDescent="0.2">
      <c r="A46" s="4"/>
      <c r="B4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6"/>
      <c r="T46" s="5"/>
      <c r="U46" s="5"/>
      <c r="V46" s="5"/>
      <c r="W46" s="5"/>
      <c r="X46" s="5"/>
      <c r="Y46" s="5"/>
      <c r="Z46" s="5"/>
      <c r="AA46" s="5"/>
      <c r="AB46" s="7"/>
      <c r="AC46" s="5"/>
    </row>
    <row r="47" spans="1:29" s="9" customFormat="1" x14ac:dyDescent="0.2">
      <c r="A47" s="4"/>
      <c r="B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6"/>
      <c r="T47" s="5"/>
      <c r="U47" s="5"/>
      <c r="V47" s="5"/>
      <c r="W47" s="5"/>
      <c r="X47" s="5"/>
      <c r="Y47" s="5"/>
      <c r="Z47" s="5"/>
      <c r="AA47" s="5"/>
      <c r="AB47" s="7"/>
      <c r="AC47" s="5"/>
    </row>
    <row r="48" spans="1:29" s="9" customFormat="1" x14ac:dyDescent="0.2">
      <c r="A48" s="4"/>
      <c r="B4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6"/>
      <c r="T48" s="5"/>
      <c r="U48" s="5"/>
      <c r="V48" s="5"/>
      <c r="W48" s="5"/>
      <c r="X48" s="5"/>
      <c r="Y48" s="5"/>
      <c r="Z48" s="5"/>
      <c r="AA48" s="5"/>
      <c r="AB48" s="7"/>
      <c r="AC48" s="5"/>
    </row>
    <row r="49" spans="1:29" s="9" customFormat="1" x14ac:dyDescent="0.2">
      <c r="A49" s="4"/>
      <c r="B4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6"/>
      <c r="T49" s="5"/>
      <c r="U49" s="5"/>
      <c r="V49" s="5"/>
      <c r="W49" s="5"/>
      <c r="X49" s="5"/>
      <c r="Y49" s="5"/>
      <c r="Z49" s="5"/>
      <c r="AA49" s="5"/>
      <c r="AB49" s="7"/>
      <c r="AC49" s="5"/>
    </row>
    <row r="50" spans="1:29" s="9" customFormat="1" x14ac:dyDescent="0.2">
      <c r="A50" s="4"/>
      <c r="B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6"/>
      <c r="T50" s="5"/>
      <c r="U50" s="5"/>
      <c r="V50" s="5"/>
      <c r="W50" s="5"/>
      <c r="X50" s="5"/>
      <c r="Y50" s="5"/>
      <c r="Z50" s="5"/>
      <c r="AA50" s="5"/>
      <c r="AB50" s="7"/>
      <c r="AC50" s="5"/>
    </row>
    <row r="51" spans="1:29" s="9" customFormat="1" x14ac:dyDescent="0.2">
      <c r="A51" s="4"/>
      <c r="B5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6"/>
      <c r="T51" s="5"/>
      <c r="U51" s="5"/>
      <c r="V51" s="5"/>
      <c r="W51" s="5"/>
      <c r="X51" s="5"/>
      <c r="Y51" s="5"/>
      <c r="Z51" s="5"/>
      <c r="AA51" s="5"/>
      <c r="AB51" s="7"/>
      <c r="AC51" s="5"/>
    </row>
    <row r="52" spans="1:29" s="9" customFormat="1" x14ac:dyDescent="0.2">
      <c r="A52" s="4"/>
      <c r="B5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6"/>
      <c r="T52" s="5"/>
      <c r="U52" s="5"/>
      <c r="V52" s="5"/>
      <c r="W52" s="5"/>
      <c r="X52" s="5"/>
      <c r="Y52" s="5"/>
      <c r="Z52" s="5"/>
      <c r="AA52" s="5"/>
      <c r="AB52" s="7"/>
      <c r="AC52" s="5"/>
    </row>
    <row r="53" spans="1:29" s="9" customFormat="1" x14ac:dyDescent="0.2">
      <c r="A53" s="4"/>
      <c r="B5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6"/>
      <c r="T53" s="5"/>
      <c r="U53" s="5"/>
      <c r="V53" s="5"/>
      <c r="W53" s="5"/>
      <c r="X53" s="5"/>
      <c r="Y53" s="5"/>
      <c r="Z53" s="5"/>
      <c r="AA53" s="5"/>
      <c r="AB53" s="7"/>
      <c r="AC53" s="5"/>
    </row>
    <row r="54" spans="1:29" s="9" customFormat="1" x14ac:dyDescent="0.2">
      <c r="A54" s="4"/>
      <c r="B5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6"/>
      <c r="T54" s="5"/>
      <c r="U54" s="5"/>
      <c r="V54" s="5"/>
      <c r="W54" s="5"/>
      <c r="X54" s="5"/>
      <c r="Y54" s="5"/>
      <c r="Z54" s="5"/>
      <c r="AA54" s="5"/>
      <c r="AB54" s="7"/>
      <c r="AC54" s="5"/>
    </row>
    <row r="55" spans="1:29" s="9" customFormat="1" x14ac:dyDescent="0.2">
      <c r="A55" s="4"/>
      <c r="B5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6"/>
      <c r="T55" s="5"/>
      <c r="U55" s="5"/>
      <c r="V55" s="5"/>
      <c r="W55" s="5"/>
      <c r="X55" s="5"/>
      <c r="Y55" s="5"/>
      <c r="Z55" s="5"/>
      <c r="AA55" s="5"/>
      <c r="AB55" s="7"/>
      <c r="AC55" s="5"/>
    </row>
    <row r="56" spans="1:29" s="9" customFormat="1" x14ac:dyDescent="0.2">
      <c r="A56" s="4"/>
      <c r="B5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6"/>
      <c r="T56" s="5"/>
      <c r="U56" s="5"/>
      <c r="V56" s="5"/>
      <c r="W56" s="5"/>
      <c r="X56" s="5"/>
      <c r="Y56" s="5"/>
      <c r="Z56" s="5"/>
      <c r="AA56" s="5"/>
      <c r="AB56" s="7"/>
      <c r="AC56" s="5"/>
    </row>
    <row r="57" spans="1:29" x14ac:dyDescent="0.2">
      <c r="A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6"/>
      <c r="T57" s="5"/>
      <c r="U57" s="5"/>
      <c r="V57" s="5"/>
      <c r="W57" s="5"/>
      <c r="X57" s="5"/>
      <c r="Y57" s="5"/>
      <c r="Z57" s="5"/>
      <c r="AA57" s="5"/>
      <c r="AB57" s="7"/>
      <c r="AC57" s="5"/>
    </row>
    <row r="58" spans="1:29" x14ac:dyDescent="0.2">
      <c r="A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6"/>
      <c r="T58" s="5"/>
      <c r="U58" s="5"/>
      <c r="V58" s="5"/>
      <c r="W58" s="5"/>
      <c r="X58" s="5"/>
      <c r="Y58" s="5"/>
      <c r="Z58" s="5"/>
      <c r="AA58" s="5"/>
      <c r="AB58" s="7"/>
      <c r="AC58" s="5"/>
    </row>
    <row r="59" spans="1:29" x14ac:dyDescent="0.2">
      <c r="A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6"/>
      <c r="T59" s="5"/>
      <c r="U59" s="5"/>
      <c r="V59" s="5"/>
      <c r="W59" s="5"/>
      <c r="X59" s="5"/>
      <c r="Y59" s="5"/>
      <c r="Z59" s="5"/>
      <c r="AA59" s="5"/>
      <c r="AB59" s="7"/>
      <c r="AC59" s="5"/>
    </row>
    <row r="60" spans="1:29" x14ac:dyDescent="0.2">
      <c r="A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6"/>
      <c r="T60" s="5"/>
      <c r="U60" s="5"/>
      <c r="V60" s="5"/>
      <c r="W60" s="5"/>
      <c r="X60" s="5"/>
      <c r="Y60" s="5"/>
      <c r="Z60" s="5"/>
      <c r="AA60" s="5"/>
      <c r="AB60" s="7"/>
      <c r="AC60" s="5"/>
    </row>
    <row r="61" spans="1:29" x14ac:dyDescent="0.2">
      <c r="A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6"/>
      <c r="T61" s="5"/>
      <c r="U61" s="5"/>
      <c r="V61" s="5"/>
      <c r="W61" s="5"/>
      <c r="X61" s="5"/>
      <c r="Y61" s="5"/>
      <c r="Z61" s="5"/>
      <c r="AA61" s="5"/>
      <c r="AB61" s="7"/>
      <c r="AC61" s="5"/>
    </row>
    <row r="62" spans="1:29" x14ac:dyDescent="0.2">
      <c r="A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6"/>
      <c r="T62" s="5"/>
      <c r="U62" s="5"/>
      <c r="V62" s="5"/>
      <c r="W62" s="5"/>
      <c r="X62" s="5"/>
      <c r="Y62" s="5"/>
      <c r="Z62" s="5"/>
      <c r="AA62" s="5"/>
      <c r="AB62" s="7"/>
      <c r="AC62" s="5"/>
    </row>
    <row r="63" spans="1:29" x14ac:dyDescent="0.2">
      <c r="A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6"/>
      <c r="T63" s="5"/>
      <c r="U63" s="5"/>
      <c r="V63" s="5"/>
      <c r="W63" s="5"/>
      <c r="X63" s="5"/>
      <c r="Y63" s="5"/>
      <c r="Z63" s="5"/>
      <c r="AA63" s="5"/>
      <c r="AB63" s="7"/>
      <c r="AC63" s="5"/>
    </row>
    <row r="64" spans="1:29" x14ac:dyDescent="0.2">
      <c r="A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6"/>
      <c r="T64" s="5"/>
      <c r="U64" s="5"/>
      <c r="V64" s="5"/>
      <c r="W64" s="5"/>
      <c r="X64" s="5"/>
      <c r="Y64" s="5"/>
      <c r="Z64" s="5"/>
      <c r="AA64" s="5"/>
      <c r="AB64" s="7"/>
      <c r="AC64" s="5"/>
    </row>
    <row r="65" spans="1:29" x14ac:dyDescent="0.2">
      <c r="A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6"/>
      <c r="T65" s="5"/>
      <c r="U65" s="5"/>
      <c r="V65" s="5"/>
      <c r="W65" s="5"/>
      <c r="X65" s="5"/>
      <c r="Y65" s="5"/>
      <c r="Z65" s="5"/>
      <c r="AA65" s="5"/>
      <c r="AB65" s="7"/>
      <c r="AC65" s="5"/>
    </row>
    <row r="66" spans="1:29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AB66" s="87"/>
      <c r="AC66" s="87"/>
    </row>
    <row r="67" spans="1:29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AB67" s="1"/>
      <c r="AC67" s="1"/>
    </row>
    <row r="68" spans="1:29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29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29" x14ac:dyDescent="0.2">
      <c r="B70" s="3"/>
    </row>
    <row r="71" spans="1:29" x14ac:dyDescent="0.2">
      <c r="A71" s="86"/>
      <c r="B71" s="86"/>
      <c r="C71" s="4"/>
      <c r="D71" s="4"/>
      <c r="E71" s="4"/>
      <c r="F71" s="4"/>
      <c r="G71" s="4"/>
      <c r="H71" s="4"/>
      <c r="I71" s="4"/>
      <c r="J71" s="4"/>
      <c r="K71" s="4"/>
      <c r="L71" s="4"/>
      <c r="AB71" s="86"/>
      <c r="AC71" s="86"/>
    </row>
  </sheetData>
  <mergeCells count="25">
    <mergeCell ref="C21:S22"/>
    <mergeCell ref="A71:B71"/>
    <mergeCell ref="AB71:AC71"/>
    <mergeCell ref="AC21:AC23"/>
    <mergeCell ref="AB66:AC66"/>
    <mergeCell ref="C24:R24"/>
    <mergeCell ref="C30:R30"/>
    <mergeCell ref="A21:A23"/>
    <mergeCell ref="B21:B23"/>
    <mergeCell ref="A11:A13"/>
    <mergeCell ref="B11:B13"/>
    <mergeCell ref="C11:S12"/>
    <mergeCell ref="AC11:AC13"/>
    <mergeCell ref="C20:P20"/>
    <mergeCell ref="C14:S14"/>
    <mergeCell ref="A7:AC7"/>
    <mergeCell ref="C10:L10"/>
    <mergeCell ref="M10:AC10"/>
    <mergeCell ref="A1:AC1"/>
    <mergeCell ref="A2:AC2"/>
    <mergeCell ref="A3:AC3"/>
    <mergeCell ref="A4:AC4"/>
    <mergeCell ref="A6:AC6"/>
    <mergeCell ref="A8:AC8"/>
    <mergeCell ref="A9:AC9"/>
  </mergeCells>
  <printOptions horizontalCentered="1"/>
  <pageMargins left="0.25" right="0.25" top="0.75" bottom="0.75" header="0.3" footer="0.3"/>
  <pageSetup paperSize="5"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KOLOM ISIAN</vt:lpstr>
      <vt:lpstr>'KOLOM ISIAN'!Print_Area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Annisa Nurfadilah</cp:lastModifiedBy>
  <cp:lastPrinted>2025-08-21T01:07:36Z</cp:lastPrinted>
  <dcterms:created xsi:type="dcterms:W3CDTF">2009-04-29T03:20:55Z</dcterms:created>
  <dcterms:modified xsi:type="dcterms:W3CDTF">2026-09-01T05:50:03Z</dcterms:modified>
</cp:coreProperties>
</file>